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WorkSpace\EGTools++\tests\"/>
    </mc:Choice>
  </mc:AlternateContent>
  <xr:revisionPtr revIDLastSave="0" documentId="13_ncr:1_{7A3CFE33-1EC8-496F-8FF3-5779B63AA4F9}" xr6:coauthVersionLast="47" xr6:coauthVersionMax="47" xr10:uidLastSave="{00000000-0000-0000-0000-000000000000}"/>
  <bookViews>
    <workbookView xWindow="-108" yWindow="-108" windowWidth="23256" windowHeight="13896" activeTab="1" xr2:uid="{EBF750F5-4EF9-41E0-A91E-4A3B554283F9}"/>
  </bookViews>
  <sheets>
    <sheet name="안내" sheetId="1" r:id="rId1"/>
    <sheet name="새함수" sheetId="2" r:id="rId2"/>
    <sheet name="Data" sheetId="3" r:id="rId3"/>
  </sheets>
  <definedNames>
    <definedName name="매출상위3">_xludf.TAKE(_xll.xSORT(Data!$D$2:$D$11,1,-1),3)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3" i="2" l="1"/>
  <c r="F79" i="2" a="1"/>
  <c r="F34" i="2" a="1"/>
  <c r="F86" i="2" a="1"/>
  <c r="F7" i="2" a="1"/>
  <c r="F104" i="2"/>
  <c r="F102" i="2"/>
  <c r="F5" i="2"/>
  <c r="F44" i="2" a="1"/>
  <c r="F123" i="2" a="1"/>
  <c r="F121" i="2"/>
  <c r="F108" i="2" a="1"/>
  <c r="F91" i="2" a="1"/>
  <c r="F114" i="2" a="1"/>
  <c r="F56" i="2" a="1"/>
  <c r="F23" i="2" a="1"/>
  <c r="F72" i="2" a="1"/>
  <c r="F54" i="2"/>
  <c r="F106" i="2" a="1"/>
  <c r="F52" i="2"/>
  <c r="F50" i="2" a="1"/>
  <c r="F68" i="2" a="1"/>
  <c r="F100" i="2"/>
  <c r="F48" i="2"/>
  <c r="F64" i="2" a="1"/>
  <c r="F38" i="2" a="1"/>
  <c r="F74" i="2" a="1"/>
  <c r="F94" i="2" a="1"/>
  <c r="F83" i="2" a="1"/>
  <c r="F127" i="2"/>
  <c r="F12" i="2" a="1"/>
  <c r="F61" i="2" a="1"/>
  <c r="F98" i="2"/>
  <c r="F139" i="2"/>
  <c r="F134" i="2" a="1"/>
  <c r="F129" i="2" a="1"/>
  <c r="F61" i="2" l="1"/>
  <c r="G61" i="2"/>
  <c r="F62" i="2"/>
  <c r="G62" i="2"/>
  <c r="F14" i="2"/>
  <c r="F15" i="2"/>
  <c r="F19" i="2"/>
  <c r="F20" i="2"/>
  <c r="F21" i="2"/>
  <c r="F12" i="2"/>
  <c r="F13" i="2"/>
  <c r="F16" i="2"/>
  <c r="F17" i="2"/>
  <c r="F18" i="2"/>
  <c r="F84" i="2"/>
  <c r="G84" i="2"/>
  <c r="F83" i="2"/>
  <c r="G83" i="2"/>
  <c r="G96" i="2"/>
  <c r="G94" i="2"/>
  <c r="F94" i="2"/>
  <c r="F95" i="2"/>
  <c r="G95" i="2"/>
  <c r="F96" i="2"/>
  <c r="F75" i="2"/>
  <c r="F76" i="2"/>
  <c r="F74" i="2"/>
  <c r="F77" i="2"/>
  <c r="F39" i="2"/>
  <c r="F40" i="2"/>
  <c r="F41" i="2"/>
  <c r="F42" i="2"/>
  <c r="F38" i="2"/>
  <c r="F64" i="2"/>
  <c r="F65" i="2"/>
  <c r="F66" i="2"/>
  <c r="F68" i="2"/>
  <c r="F69" i="2"/>
  <c r="F70" i="2"/>
  <c r="F50" i="2"/>
  <c r="G50" i="2"/>
  <c r="H50" i="2"/>
  <c r="F106" i="2"/>
  <c r="G72" i="2"/>
  <c r="H72" i="2"/>
  <c r="F72" i="2"/>
  <c r="F25" i="2"/>
  <c r="F26" i="2"/>
  <c r="F28" i="2"/>
  <c r="F29" i="2"/>
  <c r="F23" i="2"/>
  <c r="F24" i="2"/>
  <c r="F32" i="2"/>
  <c r="F30" i="2"/>
  <c r="F31" i="2"/>
  <c r="F27" i="2"/>
  <c r="F56" i="2"/>
  <c r="F58" i="2"/>
  <c r="F57" i="2"/>
  <c r="F59" i="2"/>
  <c r="I118" i="2"/>
  <c r="H114" i="2"/>
  <c r="G115" i="2"/>
  <c r="G116" i="2"/>
  <c r="H116" i="2"/>
  <c r="I116" i="2"/>
  <c r="F117" i="2"/>
  <c r="H118" i="2"/>
  <c r="F114" i="2"/>
  <c r="I114" i="2"/>
  <c r="F115" i="2"/>
  <c r="H115" i="2"/>
  <c r="I115" i="2"/>
  <c r="F116" i="2"/>
  <c r="I117" i="2"/>
  <c r="F118" i="2"/>
  <c r="G118" i="2"/>
  <c r="G114" i="2"/>
  <c r="G117" i="2"/>
  <c r="H117" i="2"/>
  <c r="G129" i="2"/>
  <c r="F130" i="2"/>
  <c r="G130" i="2"/>
  <c r="F129" i="2"/>
  <c r="F131" i="2"/>
  <c r="G131" i="2"/>
  <c r="G132" i="2"/>
  <c r="F132" i="2"/>
  <c r="F92" i="2"/>
  <c r="H92" i="2"/>
  <c r="F91" i="2"/>
  <c r="G91" i="2"/>
  <c r="G92" i="2"/>
  <c r="H91" i="2"/>
  <c r="F110" i="2"/>
  <c r="G110" i="2"/>
  <c r="F111" i="2"/>
  <c r="F108" i="2"/>
  <c r="G108" i="2"/>
  <c r="G109" i="2"/>
  <c r="G111" i="2"/>
  <c r="F109" i="2"/>
  <c r="F125" i="2"/>
  <c r="F124" i="2"/>
  <c r="F123" i="2"/>
  <c r="F45" i="2"/>
  <c r="F44" i="2"/>
  <c r="F46" i="2"/>
  <c r="F8" i="2"/>
  <c r="F9" i="2"/>
  <c r="F10" i="2"/>
  <c r="F7" i="2"/>
  <c r="F87" i="2"/>
  <c r="G88" i="2"/>
  <c r="G89" i="2"/>
  <c r="F86" i="2"/>
  <c r="G86" i="2"/>
  <c r="G87" i="2"/>
  <c r="F88" i="2"/>
  <c r="F89" i="2"/>
  <c r="F34" i="2"/>
  <c r="F35" i="2"/>
  <c r="F36" i="2"/>
  <c r="F79" i="2"/>
  <c r="F80" i="2"/>
  <c r="F81" i="2"/>
  <c r="G136" i="2"/>
  <c r="F137" i="2"/>
  <c r="G137" i="2"/>
  <c r="F134" i="2"/>
  <c r="G134" i="2"/>
  <c r="F135" i="2"/>
  <c r="F136" i="2"/>
  <c r="G135" i="2"/>
</calcChain>
</file>

<file path=xl/sharedStrings.xml><?xml version="1.0" encoding="utf-8"?>
<sst xmlns="http://schemas.openxmlformats.org/spreadsheetml/2006/main" count="172" uniqueCount="131">
  <si>
    <t>사번</t>
  </si>
  <si>
    <t>이름</t>
  </si>
  <si>
    <t>부서</t>
  </si>
  <si>
    <t>매출</t>
  </si>
  <si>
    <t>지역</t>
  </si>
  <si>
    <t>김민준</t>
  </si>
  <si>
    <t>영업</t>
  </si>
  <si>
    <t>서울</t>
  </si>
  <si>
    <t>이서연</t>
  </si>
  <si>
    <t>개발</t>
  </si>
  <si>
    <t>부산</t>
  </si>
  <si>
    <t>박지훈</t>
  </si>
  <si>
    <t>최수아</t>
  </si>
  <si>
    <t>기획</t>
  </si>
  <si>
    <t>정우진</t>
  </si>
  <si>
    <t>강하은</t>
  </si>
  <si>
    <t>조현우</t>
  </si>
  <si>
    <t>윤지민</t>
  </si>
  <si>
    <t>임서준</t>
  </si>
  <si>
    <t>한예은</t>
  </si>
  <si>
    <t>함수</t>
  </si>
  <si>
    <t>구분</t>
  </si>
  <si>
    <t>원본 수식(참고)</t>
  </si>
  <si>
    <t>비고</t>
  </si>
  <si>
    <t>결과 →</t>
  </si>
  <si>
    <t>XLOOKUP</t>
  </si>
  <si>
    <t>=XLOOKUP(105,Data!A2:A11,Data!B2:B11)</t>
  </si>
  <si>
    <t>사번 105 → 이름</t>
  </si>
  <si>
    <t>XMATCH</t>
  </si>
  <si>
    <t>=XMATCH(106,Data!A2:A11)</t>
  </si>
  <si>
    <t>사번 106의 위치(6)</t>
  </si>
  <si>
    <t>FILTER</t>
  </si>
  <si>
    <t>=FILTER(Data!B2:B11,Data!C2:C11="영업")</t>
  </si>
  <si>
    <t>호환 적용 시 xFILTER로 변환</t>
  </si>
  <si>
    <t>SORT</t>
  </si>
  <si>
    <t>=SORT(Data!D2:D11,1,-1)</t>
  </si>
  <si>
    <t>호환 적용 시 xSORT로 변환</t>
  </si>
  <si>
    <t>SORTBY</t>
  </si>
  <si>
    <t>=SORTBY(Data!B2:B11,Data!D2:D11,-1)</t>
  </si>
  <si>
    <t>매출 내림차순 이름</t>
  </si>
  <si>
    <t>UNIQUE</t>
  </si>
  <si>
    <t>=UNIQUE(Data!C2:C11)</t>
  </si>
  <si>
    <t>부서 고유값 3종</t>
  </si>
  <si>
    <t>SEQUENCE</t>
  </si>
  <si>
    <t>=SEQUENCE(5)</t>
  </si>
  <si>
    <t>1..5</t>
  </si>
  <si>
    <t>RANDARRAY</t>
  </si>
  <si>
    <t>=RANDARRAY(3,1,1,100,TRUE)</t>
  </si>
  <si>
    <t>휘발성 — 열 때마다 값 변경</t>
  </si>
  <si>
    <t>LET</t>
  </si>
  <si>
    <t>=LET(x,Data!D2:D11,SUM(x)/COUNT(x))</t>
  </si>
  <si>
    <t>호환 적용 시 xLET로 변환(평균 매출)</t>
  </si>
  <si>
    <t>TEXTSPLIT</t>
  </si>
  <si>
    <t>2024/365</t>
  </si>
  <si>
    <t>=TEXTSPLIT("사과,배,포도",",")</t>
  </si>
  <si>
    <t>가로 3칸 분할</t>
  </si>
  <si>
    <t>TEXTBEFORE</t>
  </si>
  <si>
    <t>=TEXTBEFORE("2026-08-03","-")</t>
  </si>
  <si>
    <t>TEXTAFTER</t>
  </si>
  <si>
    <t>=TEXTAFTER("2026-08-03","-",2)</t>
  </si>
  <si>
    <t>VSTACK</t>
  </si>
  <si>
    <t>=VSTACK(Data!B2:B3,Data!B9:B10)</t>
  </si>
  <si>
    <t>HSTACK</t>
  </si>
  <si>
    <t>=HSTACK(Data!B2:B3,Data!C2:C3)</t>
  </si>
  <si>
    <t>TAKE</t>
  </si>
  <si>
    <t>=TAKE(Data!B2:B11,3)</t>
  </si>
  <si>
    <t>DROP</t>
  </si>
  <si>
    <t>=DROP(Data!B2:B11,7)</t>
  </si>
  <si>
    <t>TOROW</t>
  </si>
  <si>
    <t>=TOROW(Data!C2:C4)</t>
  </si>
  <si>
    <t>TOCOL</t>
  </si>
  <si>
    <t>=TOCOL(Data!B2:C3)</t>
  </si>
  <si>
    <t>CHOOSEROWS</t>
  </si>
  <si>
    <t>=CHOOSEROWS(Data!B2:B11,1,3,5)</t>
  </si>
  <si>
    <t>CHOOSECOLS</t>
  </si>
  <si>
    <t>=CHOOSECOLS(Data!A2:D3,2,4)</t>
  </si>
  <si>
    <t>EXPAND</t>
  </si>
  <si>
    <t>=EXPAND(Data!B2:B3,4,2,"-")</t>
  </si>
  <si>
    <t>부족분 "-" 채움</t>
  </si>
  <si>
    <t>WRAPROWS</t>
  </si>
  <si>
    <t>=WRAPROWS(Data!B2:B7,3)</t>
  </si>
  <si>
    <t>WRAPCOLS</t>
  </si>
  <si>
    <t>=WRAPCOLS(Data!B2:B7,3)</t>
  </si>
  <si>
    <t>ARRAYTOTEXT</t>
  </si>
  <si>
    <t>=ARRAYTOTEXT(Data!B2:B4)</t>
  </si>
  <si>
    <t>VALUETOTEXT</t>
  </si>
  <si>
    <t>=VALUETOTEXT(Data!B2)</t>
  </si>
  <si>
    <t>REGEXTEST</t>
  </si>
  <si>
    <t>=REGEXTEST("모델명 EG-2026","\d+")</t>
  </si>
  <si>
    <t>REGEXREPLACE</t>
  </si>
  <si>
    <t>=REGEXREPLACE("010-1234-5678","\d{4}$","****")</t>
  </si>
  <si>
    <t>REGEXEXTRACT</t>
  </si>
  <si>
    <t>=REGEXEXTRACT("주문번호 A-1234","\d+")</t>
  </si>
  <si>
    <t>GROUPBY</t>
  </si>
  <si>
    <t>=GROUPBY(Data!C2:C11,Data!D2:D11,SUM)</t>
  </si>
  <si>
    <t>호환 적용 시 집계자 SUM↔"SUM" 토글</t>
  </si>
  <si>
    <t>PIVOTBY</t>
  </si>
  <si>
    <t>=PIVOTBY(Data!C2:C11,Data!E2:E11,Data!D2:D11,SUM)</t>
  </si>
  <si>
    <t>PERCENTOF</t>
  </si>
  <si>
    <t>=PERCENTOF(Data!D2:D5,Data!D2:D11)</t>
  </si>
  <si>
    <t>상위 4명 매출 비중</t>
  </si>
  <si>
    <t>TRIMRANGE</t>
  </si>
  <si>
    <t>=TRIMRANGE(Data!G1:G6)</t>
  </si>
  <si>
    <t>끝쪽 빈 행 제거(G4:G6)</t>
  </si>
  <si>
    <t>IMAGE</t>
  </si>
  <si>
    <t>=IMAGE("https://www.google.com/favicon.ico")</t>
  </si>
  <si>
    <t>인터넷 필요 · 복원 시 EG.IMAGE 유지</t>
  </si>
  <si>
    <t>IMPORTTEXT</t>
  </si>
  <si>
    <t>365(2026)</t>
  </si>
  <si>
    <t>=IMPORTTEXT(LEFT(CELL("filename",$A$1),FIND("[",CELL("filename",$A$1))-1)&amp;"sample_import.csv",",")</t>
  </si>
  <si>
    <t>같은 폴더 sample_import.csv 필요</t>
  </si>
  <si>
    <t>IMPORTCSV</t>
  </si>
  <si>
    <t>=IMPORTCSV(LEFT(CELL("filename",$A$1),FIND("[",CELL("filename",$A$1))-1)&amp;"sample_import.csv")</t>
  </si>
  <si>
    <t>(정의된 이름)</t>
  </si>
  <si>
    <t>매출상위3 = TAKE(SORT(...)) / 셀 =SUM(매출상위3)</t>
  </si>
  <si>
    <t>정의된 이름 RefersTo 변환 확인용</t>
  </si>
  <si>
    <t>EGTools++ 호환 변환 테스트 샘플 — Excel 2021+ 신함수 전체</t>
  </si>
  <si>
    <t>이 파일은 모던 Excel(동적배열)로 작성되어 신함수가 _xlfn./_xleta. 토큰으로 저장되어 있습니다.</t>
  </si>
  <si>
    <t>[새함수] 시트에 함수별 실제 수식(F열)과 원본 수식 텍스트(C열)가 있습니다.</t>
  </si>
  <si>
    <t>■ 구버전 Excel(예: 2016 x86 + EGTools++)에서:</t>
  </si>
  <si>
    <t xml:space="preserve">  1) 열면 F열이 _xlfn.* 표시와 함께 #NAME? 오류로 보입니다.</t>
  </si>
  <si>
    <t xml:space="preserve">  2) 리본 [EGTools++] &gt; [구버전 호환 적용] 실행 → 전 함수가 EGTools 함수명(bare/x접두)으로 바뀌고 계산됩니다.</t>
  </si>
  <si>
    <t xml:space="preserve">  3) [내장 함수로 복원]은 이 버전엔 네이티브가 없으므로 "변환할 대상이 없습니다"가 정상입니다.</t>
  </si>
  <si>
    <t>■ 모던 Excel(2021/365 + EGTools++)에서:</t>
  </si>
  <si>
    <t xml:space="preserve">  1) 열면 전부 네이티브로 정상 계산됩니다(IMPORT 2종 제외 가능).</t>
  </si>
  <si>
    <t xml:space="preserve">  2) [구버전 호환 적용] → SORT/FILTER/LET은 xSORT/xFILTER/xLET로, GROUPBY/PIVOTBY 집계자는 "SUM"으로 변경.</t>
  </si>
  <si>
    <t xml:space="preserve">     (문서가 구버전용으로 바뀌므로 이 상태에선 일부 #NAME? 표시가 정상입니다)</t>
  </si>
  <si>
    <t xml:space="preserve">  3) [내장 함수로 복원] → 전 함수가 네이티브로 재토큰화되어 다시 계산됩니다(IMAGE는 EG.IMAGE 유지).</t>
  </si>
  <si>
    <t>※ RANDARRAY는 휘발성이라 열 때마다 값이 바뀝니다.</t>
  </si>
  <si>
    <t>※ IMAGE는 인터넷 연결이 필요합니다.</t>
  </si>
  <si>
    <t>※ IMPORTTEXT/IMPORTCSV는 같은 폴더의 sample_import.csv를 읽습니다(365 네이티브는 2026 롤아웃).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</si>
</sst>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</xdr:colOff>
      <xdr:row>126</xdr:row>
      <xdr:rowOff>3810</xdr:rowOff>
    </xdr:from>
    <xdr:to>
      <xdr:col>5</xdr:col>
      <xdr:colOff>605790</xdr:colOff>
      <xdr:row>126</xdr:row>
      <xdr:rowOff>194310</xdr:rowOff>
    </xdr:to>
    <xdr:pic>
      <xdr:nvPicPr>
        <xdr:cNvPr id="5" name="EG.Image_새함수_F127">
          <a:extLst>
            <a:ext uri="{FF2B5EF4-FFF2-40B4-BE49-F238E27FC236}">
              <a16:creationId xmlns:a16="http://schemas.microsoft.com/office/drawing/2014/main" id="{F37C740A-2B1F-3C7A-76C4-81188C33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6370" y="24966930"/>
          <a:ext cx="60198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3F7B-D121-4BE1-99F0-C1123D26113F}">
  <dimension ref="A1:A19"/>
  <sheetViews>
    <sheetView workbookViewId="0">
      <selection activeCell="D24" sqref="D24"/>
    </sheetView>
  </sheetViews>
  <sheetFormatPr defaultRowHeight="15.6" x14ac:dyDescent="0.35"/>
  <sheetData>
    <row r="1" spans="1:1" x14ac:dyDescent="0.35">
      <c r="A1" s="2" t="s">
        <v>116</v>
      </c>
    </row>
    <row r="3" spans="1:1" x14ac:dyDescent="0.35">
      <c r="A3" t="s">
        <v>117</v>
      </c>
    </row>
    <row r="4" spans="1:1" x14ac:dyDescent="0.35">
      <c r="A4" t="s">
        <v>118</v>
      </c>
    </row>
    <row r="6" spans="1:1" x14ac:dyDescent="0.35">
      <c r="A6" t="s">
        <v>119</v>
      </c>
    </row>
    <row r="7" spans="1:1" x14ac:dyDescent="0.35">
      <c r="A7" t="s">
        <v>120</v>
      </c>
    </row>
    <row r="8" spans="1:1" x14ac:dyDescent="0.35">
      <c r="A8" t="s">
        <v>121</v>
      </c>
    </row>
    <row r="9" spans="1:1" x14ac:dyDescent="0.35">
      <c r="A9" t="s">
        <v>122</v>
      </c>
    </row>
    <row r="11" spans="1:1" x14ac:dyDescent="0.35">
      <c r="A11" t="s">
        <v>123</v>
      </c>
    </row>
    <row r="12" spans="1:1" x14ac:dyDescent="0.35">
      <c r="A12" t="s">
        <v>124</v>
      </c>
    </row>
    <row r="13" spans="1:1" x14ac:dyDescent="0.35">
      <c r="A13" t="s">
        <v>125</v>
      </c>
    </row>
    <row r="14" spans="1:1" x14ac:dyDescent="0.35">
      <c r="A14" t="s">
        <v>126</v>
      </c>
    </row>
    <row r="15" spans="1:1" x14ac:dyDescent="0.35">
      <c r="A15" t="s">
        <v>127</v>
      </c>
    </row>
    <row r="17" spans="1:1" x14ac:dyDescent="0.35">
      <c r="A17" t="s">
        <v>128</v>
      </c>
    </row>
    <row r="18" spans="1:1" x14ac:dyDescent="0.35">
      <c r="A18" t="s">
        <v>129</v>
      </c>
    </row>
    <row r="19" spans="1:1" x14ac:dyDescent="0.35">
      <c r="A19" t="s">
        <v>130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B1E5-2BCA-4826-A719-B96EBC5ECC1D}">
  <dimension ref="A1:I148"/>
  <sheetViews>
    <sheetView tabSelected="1" topLeftCell="A130" workbookViewId="0">
      <selection activeCell="D117" sqref="D117"/>
    </sheetView>
  </sheetViews>
  <sheetFormatPr defaultRowHeight="15.6" x14ac:dyDescent="0.35"/>
  <cols>
    <col min="1" max="1" width="14.77734375" customWidth="1"/>
    <col min="2" max="2" width="10.77734375" customWidth="1"/>
    <col min="3" max="3" width="58.77734375" style="1" customWidth="1"/>
    <col min="4" max="4" width="38.77734375" customWidth="1"/>
  </cols>
  <sheetData>
    <row r="1" spans="1:6" s="2" customFormat="1" x14ac:dyDescent="0.35">
      <c r="A1" s="2" t="s">
        <v>20</v>
      </c>
      <c r="B1" s="2" t="s">
        <v>21</v>
      </c>
      <c r="C1" s="3" t="s">
        <v>22</v>
      </c>
      <c r="D1" s="2" t="s">
        <v>23</v>
      </c>
      <c r="F1" s="2" t="s">
        <v>24</v>
      </c>
    </row>
    <row r="3" spans="1:6" x14ac:dyDescent="0.35">
      <c r="A3" t="s">
        <v>25</v>
      </c>
      <c r="B3">
        <v>2021</v>
      </c>
      <c r="C3" s="1" t="s">
        <v>26</v>
      </c>
      <c r="D3" t="s">
        <v>27</v>
      </c>
      <c r="F3" t="e">
        <f ca="1">_xludf.XLOOKUP(105,Data!A2:A11,Data!B2:B11)</f>
        <v>#NAME?</v>
      </c>
    </row>
    <row r="5" spans="1:6" x14ac:dyDescent="0.35">
      <c r="A5" t="s">
        <v>28</v>
      </c>
      <c r="B5">
        <v>2021</v>
      </c>
      <c r="C5" s="1" t="s">
        <v>29</v>
      </c>
      <c r="D5" t="s">
        <v>30</v>
      </c>
      <c r="F5" t="e">
        <f ca="1">_xludf.XMATCH(106,Data!A2:A11)</f>
        <v>#NAME?</v>
      </c>
    </row>
    <row r="7" spans="1:6" x14ac:dyDescent="0.35">
      <c r="A7" t="s">
        <v>31</v>
      </c>
      <c r="B7">
        <v>2021</v>
      </c>
      <c r="C7" s="1" t="s">
        <v>32</v>
      </c>
      <c r="D7" t="s">
        <v>33</v>
      </c>
      <c r="F7" t="e">
        <f t="array" aca="1" ref="F7:F10" ca="1">_xll.xFILTER(Data!B2:B11,Data!C2:C11="영업")</f>
        <v>#NAME?</v>
      </c>
    </row>
    <row r="8" spans="1:6" x14ac:dyDescent="0.35">
      <c r="F8" t="e">
        <f ca="1"/>
        <v>#NAME?</v>
      </c>
    </row>
    <row r="9" spans="1:6" x14ac:dyDescent="0.35">
      <c r="F9" t="e">
        <f ca="1"/>
        <v>#NAME?</v>
      </c>
    </row>
    <row r="10" spans="1:6" x14ac:dyDescent="0.35">
      <c r="F10" t="e">
        <f ca="1"/>
        <v>#NAME?</v>
      </c>
    </row>
    <row r="12" spans="1:6" x14ac:dyDescent="0.35">
      <c r="A12" t="s">
        <v>34</v>
      </c>
      <c r="B12">
        <v>2021</v>
      </c>
      <c r="C12" s="1" t="s">
        <v>35</v>
      </c>
      <c r="D12" t="s">
        <v>36</v>
      </c>
      <c r="F12" t="e">
        <f t="array" aca="1" ref="F12:F21" ca="1">_xll.xSORT(Data!D2:D11,1,-1)</f>
        <v>#NAME?</v>
      </c>
    </row>
    <row r="13" spans="1:6" x14ac:dyDescent="0.35">
      <c r="F13" t="e">
        <f ca="1"/>
        <v>#NAME?</v>
      </c>
    </row>
    <row r="14" spans="1:6" x14ac:dyDescent="0.35">
      <c r="F14" t="e">
        <f ca="1"/>
        <v>#NAME?</v>
      </c>
    </row>
    <row r="15" spans="1:6" x14ac:dyDescent="0.35">
      <c r="F15" t="e">
        <f ca="1"/>
        <v>#NAME?</v>
      </c>
    </row>
    <row r="16" spans="1:6" x14ac:dyDescent="0.35">
      <c r="F16" t="e">
        <f ca="1"/>
        <v>#NAME?</v>
      </c>
    </row>
    <row r="17" spans="1:6" x14ac:dyDescent="0.35">
      <c r="F17" t="e">
        <f ca="1"/>
        <v>#NAME?</v>
      </c>
    </row>
    <row r="18" spans="1:6" x14ac:dyDescent="0.35">
      <c r="F18" t="e">
        <f ca="1"/>
        <v>#NAME?</v>
      </c>
    </row>
    <row r="19" spans="1:6" x14ac:dyDescent="0.35">
      <c r="F19" t="e">
        <f ca="1"/>
        <v>#NAME?</v>
      </c>
    </row>
    <row r="20" spans="1:6" x14ac:dyDescent="0.35">
      <c r="F20" t="e">
        <f ca="1"/>
        <v>#NAME?</v>
      </c>
    </row>
    <row r="21" spans="1:6" x14ac:dyDescent="0.35">
      <c r="F21" t="e">
        <f ca="1"/>
        <v>#NAME?</v>
      </c>
    </row>
    <row r="23" spans="1:6" x14ac:dyDescent="0.35">
      <c r="A23" t="s">
        <v>37</v>
      </c>
      <c r="B23">
        <v>2021</v>
      </c>
      <c r="C23" s="1" t="s">
        <v>38</v>
      </c>
      <c r="D23" t="s">
        <v>39</v>
      </c>
      <c r="F23" t="e">
        <f t="array" aca="1" ref="F23:F32" ca="1">_xludf.SORTBY(Data!B2:B11,Data!D2:D11,-1)</f>
        <v>#NAME?</v>
      </c>
    </row>
    <row r="24" spans="1:6" x14ac:dyDescent="0.35">
      <c r="F24" t="e">
        <f ca="1"/>
        <v>#NAME?</v>
      </c>
    </row>
    <row r="25" spans="1:6" x14ac:dyDescent="0.35">
      <c r="F25" t="e">
        <f ca="1"/>
        <v>#NAME?</v>
      </c>
    </row>
    <row r="26" spans="1:6" x14ac:dyDescent="0.35">
      <c r="F26" t="e">
        <f ca="1"/>
        <v>#NAME?</v>
      </c>
    </row>
    <row r="27" spans="1:6" x14ac:dyDescent="0.35">
      <c r="F27" t="e">
        <f ca="1"/>
        <v>#NAME?</v>
      </c>
    </row>
    <row r="28" spans="1:6" x14ac:dyDescent="0.35">
      <c r="F28" t="e">
        <f ca="1"/>
        <v>#NAME?</v>
      </c>
    </row>
    <row r="29" spans="1:6" x14ac:dyDescent="0.35">
      <c r="F29" t="e">
        <f ca="1"/>
        <v>#NAME?</v>
      </c>
    </row>
    <row r="30" spans="1:6" x14ac:dyDescent="0.35">
      <c r="F30" t="e">
        <f ca="1"/>
        <v>#NAME?</v>
      </c>
    </row>
    <row r="31" spans="1:6" x14ac:dyDescent="0.35">
      <c r="F31" t="e">
        <f ca="1"/>
        <v>#NAME?</v>
      </c>
    </row>
    <row r="32" spans="1:6" x14ac:dyDescent="0.35">
      <c r="F32" t="e">
        <f ca="1"/>
        <v>#NAME?</v>
      </c>
    </row>
    <row r="34" spans="1:6" x14ac:dyDescent="0.35">
      <c r="A34" t="s">
        <v>40</v>
      </c>
      <c r="B34">
        <v>2021</v>
      </c>
      <c r="C34" s="1" t="s">
        <v>41</v>
      </c>
      <c r="D34" t="s">
        <v>42</v>
      </c>
      <c r="F34" t="e">
        <f t="array" aca="1" ref="F34:F36" ca="1">_xludf.UNIQUE(Data!C2:C11)</f>
        <v>#NAME?</v>
      </c>
    </row>
    <row r="35" spans="1:6" x14ac:dyDescent="0.35">
      <c r="F35" t="e">
        <f ca="1"/>
        <v>#NAME?</v>
      </c>
    </row>
    <row r="36" spans="1:6" x14ac:dyDescent="0.35">
      <c r="F36" t="e">
        <f ca="1"/>
        <v>#NAME?</v>
      </c>
    </row>
    <row r="38" spans="1:6" x14ac:dyDescent="0.35">
      <c r="A38" t="s">
        <v>43</v>
      </c>
      <c r="B38">
        <v>2021</v>
      </c>
      <c r="C38" s="1" t="s">
        <v>44</v>
      </c>
      <c r="D38" t="s">
        <v>45</v>
      </c>
      <c r="F38" t="e">
        <f t="array" aca="1" ref="F38:F42" ca="1">_xludf.SEQUENCE(5)</f>
        <v>#NAME?</v>
      </c>
    </row>
    <row r="39" spans="1:6" x14ac:dyDescent="0.35">
      <c r="F39" t="e">
        <f ca="1"/>
        <v>#NAME?</v>
      </c>
    </row>
    <row r="40" spans="1:6" x14ac:dyDescent="0.35">
      <c r="F40" t="e">
        <f ca="1"/>
        <v>#NAME?</v>
      </c>
    </row>
    <row r="41" spans="1:6" x14ac:dyDescent="0.35">
      <c r="F41" t="e">
        <f ca="1"/>
        <v>#NAME?</v>
      </c>
    </row>
    <row r="42" spans="1:6" x14ac:dyDescent="0.35">
      <c r="F42" t="e">
        <f ca="1"/>
        <v>#NAME?</v>
      </c>
    </row>
    <row r="44" spans="1:6" x14ac:dyDescent="0.35">
      <c r="A44" t="s">
        <v>46</v>
      </c>
      <c r="B44">
        <v>2021</v>
      </c>
      <c r="C44" s="1" t="s">
        <v>47</v>
      </c>
      <c r="D44" t="s">
        <v>48</v>
      </c>
      <c r="F44" t="e">
        <f t="array" aca="1" ref="F44:F46" ca="1">_xludf.RANDARRAY(3,1,1,100,TRUE)</f>
        <v>#NAME?</v>
      </c>
    </row>
    <row r="45" spans="1:6" x14ac:dyDescent="0.35">
      <c r="F45" t="e">
        <f ca="1"/>
        <v>#NAME?</v>
      </c>
    </row>
    <row r="46" spans="1:6" x14ac:dyDescent="0.35">
      <c r="F46" t="e">
        <f ca="1"/>
        <v>#NAME?</v>
      </c>
    </row>
    <row r="48" spans="1:6" x14ac:dyDescent="0.35">
      <c r="A48" t="s">
        <v>49</v>
      </c>
      <c r="B48">
        <v>2021</v>
      </c>
      <c r="C48" s="1" t="s">
        <v>50</v>
      </c>
      <c r="D48" t="s">
        <v>51</v>
      </c>
      <c r="F48" t="e">
        <f ca="1">_xll.xLET(_xlpm.x,Data!D2:D11,SUM(_xlpm.x)/COUNT(_xlpm.x))</f>
        <v>#NAME?</v>
      </c>
    </row>
    <row r="50" spans="1:8" x14ac:dyDescent="0.35">
      <c r="A50" t="s">
        <v>52</v>
      </c>
      <c r="B50" t="s">
        <v>53</v>
      </c>
      <c r="C50" s="1" t="s">
        <v>54</v>
      </c>
      <c r="D50" t="s">
        <v>55</v>
      </c>
      <c r="F50" t="e">
        <f t="array" aca="1" ref="F50:H50" ca="1">_xludf.TEXTSPLIT("사과,배,포도",",")</f>
        <v>#NAME?</v>
      </c>
      <c r="G50" t="e">
        <f ca="1"/>
        <v>#NAME?</v>
      </c>
      <c r="H50" t="e">
        <f ca="1"/>
        <v>#NAME?</v>
      </c>
    </row>
    <row r="52" spans="1:8" x14ac:dyDescent="0.35">
      <c r="A52" t="s">
        <v>56</v>
      </c>
      <c r="B52" t="s">
        <v>53</v>
      </c>
      <c r="C52" s="1" t="s">
        <v>57</v>
      </c>
      <c r="F52" t="e">
        <f ca="1">_xludf.TEXTBEFORE("2026-08-03","-")</f>
        <v>#NAME?</v>
      </c>
    </row>
    <row r="54" spans="1:8" x14ac:dyDescent="0.35">
      <c r="A54" t="s">
        <v>58</v>
      </c>
      <c r="B54" t="s">
        <v>53</v>
      </c>
      <c r="C54" s="1" t="s">
        <v>59</v>
      </c>
      <c r="F54" t="e">
        <f ca="1">_xludf.TEXTAFTER("2026-08-03","-",2)</f>
        <v>#NAME?</v>
      </c>
    </row>
    <row r="56" spans="1:8" x14ac:dyDescent="0.35">
      <c r="A56" t="s">
        <v>60</v>
      </c>
      <c r="B56" t="s">
        <v>53</v>
      </c>
      <c r="C56" s="1" t="s">
        <v>61</v>
      </c>
      <c r="F56" t="e">
        <f t="array" aca="1" ref="F56:F59" ca="1">_xludf.VSTACK(Data!B2:B3,Data!B9:B10)</f>
        <v>#NAME?</v>
      </c>
    </row>
    <row r="57" spans="1:8" x14ac:dyDescent="0.35">
      <c r="F57" t="e">
        <f ca="1"/>
        <v>#NAME?</v>
      </c>
    </row>
    <row r="58" spans="1:8" x14ac:dyDescent="0.35">
      <c r="F58" t="e">
        <f ca="1"/>
        <v>#NAME?</v>
      </c>
    </row>
    <row r="59" spans="1:8" x14ac:dyDescent="0.35">
      <c r="F59" t="e">
        <f ca="1"/>
        <v>#NAME?</v>
      </c>
    </row>
    <row r="61" spans="1:8" x14ac:dyDescent="0.35">
      <c r="A61" t="s">
        <v>62</v>
      </c>
      <c r="B61" t="s">
        <v>53</v>
      </c>
      <c r="C61" s="1" t="s">
        <v>63</v>
      </c>
      <c r="F61" t="e">
        <f t="array" aca="1" ref="F61:G62" ca="1">_xludf.HSTACK(Data!B2:B3,Data!C2:C3)</f>
        <v>#NAME?</v>
      </c>
      <c r="G61" t="e">
        <f ca="1"/>
        <v>#NAME?</v>
      </c>
    </row>
    <row r="62" spans="1:8" x14ac:dyDescent="0.35">
      <c r="F62" t="e">
        <f ca="1"/>
        <v>#NAME?</v>
      </c>
      <c r="G62" t="e">
        <f ca="1"/>
        <v>#NAME?</v>
      </c>
    </row>
    <row r="64" spans="1:8" x14ac:dyDescent="0.35">
      <c r="A64" t="s">
        <v>64</v>
      </c>
      <c r="B64" t="s">
        <v>53</v>
      </c>
      <c r="C64" s="1" t="s">
        <v>65</v>
      </c>
      <c r="F64" t="e">
        <f t="array" aca="1" ref="F64:F66" ca="1">_xludf.TAKE(Data!B2:B11,3)</f>
        <v>#NAME?</v>
      </c>
    </row>
    <row r="65" spans="1:8" x14ac:dyDescent="0.35">
      <c r="F65" t="e">
        <f ca="1"/>
        <v>#NAME?</v>
      </c>
    </row>
    <row r="66" spans="1:8" x14ac:dyDescent="0.35">
      <c r="F66" t="e">
        <f ca="1"/>
        <v>#NAME?</v>
      </c>
    </row>
    <row r="68" spans="1:8" x14ac:dyDescent="0.35">
      <c r="A68" t="s">
        <v>66</v>
      </c>
      <c r="B68" t="s">
        <v>53</v>
      </c>
      <c r="C68" s="1" t="s">
        <v>67</v>
      </c>
      <c r="F68" t="e">
        <f t="array" aca="1" ref="F68:F70" ca="1">_xludf.DROP(Data!B2:B11,7)</f>
        <v>#NAME?</v>
      </c>
    </row>
    <row r="69" spans="1:8" x14ac:dyDescent="0.35">
      <c r="F69" t="e">
        <f ca="1"/>
        <v>#NAME?</v>
      </c>
    </row>
    <row r="70" spans="1:8" x14ac:dyDescent="0.35">
      <c r="F70" t="e">
        <f ca="1"/>
        <v>#NAME?</v>
      </c>
    </row>
    <row r="72" spans="1:8" x14ac:dyDescent="0.35">
      <c r="A72" t="s">
        <v>68</v>
      </c>
      <c r="B72" t="s">
        <v>53</v>
      </c>
      <c r="C72" s="1" t="s">
        <v>69</v>
      </c>
      <c r="F72" t="e">
        <f t="array" aca="1" ref="F72:H72" ca="1">_xludf.TOROW(Data!C2:C4)</f>
        <v>#NAME?</v>
      </c>
      <c r="G72" t="e">
        <f ca="1"/>
        <v>#NAME?</v>
      </c>
      <c r="H72" t="e">
        <f ca="1"/>
        <v>#NAME?</v>
      </c>
    </row>
    <row r="74" spans="1:8" x14ac:dyDescent="0.35">
      <c r="A74" t="s">
        <v>70</v>
      </c>
      <c r="B74" t="s">
        <v>53</v>
      </c>
      <c r="C74" s="1" t="s">
        <v>71</v>
      </c>
      <c r="F74" t="e">
        <f t="array" aca="1" ref="F74:F77" ca="1">_xludf.TOCOL(Data!B2:C3)</f>
        <v>#NAME?</v>
      </c>
    </row>
    <row r="75" spans="1:8" x14ac:dyDescent="0.35">
      <c r="F75" t="e">
        <f ca="1"/>
        <v>#NAME?</v>
      </c>
    </row>
    <row r="76" spans="1:8" x14ac:dyDescent="0.35">
      <c r="F76" t="e">
        <f ca="1"/>
        <v>#NAME?</v>
      </c>
    </row>
    <row r="77" spans="1:8" x14ac:dyDescent="0.35">
      <c r="F77" t="e">
        <f ca="1"/>
        <v>#NAME?</v>
      </c>
    </row>
    <row r="79" spans="1:8" x14ac:dyDescent="0.35">
      <c r="A79" t="s">
        <v>72</v>
      </c>
      <c r="B79" t="s">
        <v>53</v>
      </c>
      <c r="C79" s="1" t="s">
        <v>73</v>
      </c>
      <c r="F79" t="e">
        <f t="array" aca="1" ref="F79:F81" ca="1">_xludf.CHOOSEROWS(Data!B2:B11,1,3,5)</f>
        <v>#NAME?</v>
      </c>
    </row>
    <row r="80" spans="1:8" x14ac:dyDescent="0.35">
      <c r="F80" t="e">
        <f ca="1"/>
        <v>#NAME?</v>
      </c>
    </row>
    <row r="81" spans="1:8" x14ac:dyDescent="0.35">
      <c r="F81" t="e">
        <f ca="1"/>
        <v>#NAME?</v>
      </c>
    </row>
    <row r="83" spans="1:8" x14ac:dyDescent="0.35">
      <c r="A83" t="s">
        <v>74</v>
      </c>
      <c r="B83" t="s">
        <v>53</v>
      </c>
      <c r="C83" s="1" t="s">
        <v>75</v>
      </c>
      <c r="F83" t="e">
        <f t="array" aca="1" ref="F83:G84" ca="1">_xludf.CHOOSECOLS(Data!A2:D3,2,4)</f>
        <v>#NAME?</v>
      </c>
      <c r="G83" t="e">
        <f ca="1"/>
        <v>#NAME?</v>
      </c>
    </row>
    <row r="84" spans="1:8" x14ac:dyDescent="0.35">
      <c r="F84" t="e">
        <f ca="1"/>
        <v>#NAME?</v>
      </c>
      <c r="G84" t="e">
        <f ca="1"/>
        <v>#NAME?</v>
      </c>
    </row>
    <row r="86" spans="1:8" x14ac:dyDescent="0.35">
      <c r="A86" t="s">
        <v>76</v>
      </c>
      <c r="B86" t="s">
        <v>53</v>
      </c>
      <c r="C86" s="1" t="s">
        <v>77</v>
      </c>
      <c r="D86" t="s">
        <v>78</v>
      </c>
      <c r="F86" t="e">
        <f t="array" aca="1" ref="F86:G89" ca="1">_xludf.EXPAND(Data!B2:B3,4,2,"-")</f>
        <v>#NAME?</v>
      </c>
      <c r="G86" t="e">
        <f ca="1"/>
        <v>#NAME?</v>
      </c>
    </row>
    <row r="87" spans="1:8" x14ac:dyDescent="0.35">
      <c r="F87" t="e">
        <f ca="1"/>
        <v>#NAME?</v>
      </c>
      <c r="G87" t="e">
        <f ca="1"/>
        <v>#NAME?</v>
      </c>
    </row>
    <row r="88" spans="1:8" x14ac:dyDescent="0.35">
      <c r="F88" t="e">
        <f ca="1"/>
        <v>#NAME?</v>
      </c>
      <c r="G88" t="e">
        <f ca="1"/>
        <v>#NAME?</v>
      </c>
    </row>
    <row r="89" spans="1:8" x14ac:dyDescent="0.35">
      <c r="F89" t="e">
        <f ca="1"/>
        <v>#NAME?</v>
      </c>
      <c r="G89" t="e">
        <f ca="1"/>
        <v>#NAME?</v>
      </c>
    </row>
    <row r="91" spans="1:8" x14ac:dyDescent="0.35">
      <c r="A91" t="s">
        <v>79</v>
      </c>
      <c r="B91" t="s">
        <v>53</v>
      </c>
      <c r="C91" s="1" t="s">
        <v>80</v>
      </c>
      <c r="F91" t="e">
        <f t="array" aca="1" ref="F91:H92" ca="1">_xludf.WRAPROWS(Data!B2:B7,3)</f>
        <v>#NAME?</v>
      </c>
      <c r="G91" t="e">
        <f ca="1"/>
        <v>#NAME?</v>
      </c>
      <c r="H91" t="e">
        <f ca="1"/>
        <v>#NAME?</v>
      </c>
    </row>
    <row r="92" spans="1:8" x14ac:dyDescent="0.35">
      <c r="F92" t="e">
        <f ca="1"/>
        <v>#NAME?</v>
      </c>
      <c r="G92" t="e">
        <f ca="1"/>
        <v>#NAME?</v>
      </c>
      <c r="H92" t="e">
        <f ca="1"/>
        <v>#NAME?</v>
      </c>
    </row>
    <row r="94" spans="1:8" x14ac:dyDescent="0.35">
      <c r="A94" t="s">
        <v>81</v>
      </c>
      <c r="B94" t="s">
        <v>53</v>
      </c>
      <c r="C94" s="1" t="s">
        <v>82</v>
      </c>
      <c r="F94" t="e">
        <f t="array" aca="1" ref="F94:G96" ca="1">_xludf.WRAPCOLS(Data!B2:B7,3)</f>
        <v>#NAME?</v>
      </c>
      <c r="G94" t="e">
        <f ca="1"/>
        <v>#NAME?</v>
      </c>
    </row>
    <row r="95" spans="1:8" x14ac:dyDescent="0.35">
      <c r="F95" t="e">
        <f ca="1"/>
        <v>#NAME?</v>
      </c>
      <c r="G95" t="e">
        <f ca="1"/>
        <v>#NAME?</v>
      </c>
    </row>
    <row r="96" spans="1:8" x14ac:dyDescent="0.35">
      <c r="F96" t="e">
        <f ca="1"/>
        <v>#NAME?</v>
      </c>
      <c r="G96" t="e">
        <f ca="1"/>
        <v>#NAME?</v>
      </c>
    </row>
    <row r="98" spans="1:7" x14ac:dyDescent="0.35">
      <c r="A98" t="s">
        <v>83</v>
      </c>
      <c r="B98" t="s">
        <v>53</v>
      </c>
      <c r="C98" s="1" t="s">
        <v>84</v>
      </c>
      <c r="F98" t="e">
        <f ca="1">_xludf.ARRAYTOTEXT(Data!B2:B4)</f>
        <v>#NAME?</v>
      </c>
    </row>
    <row r="100" spans="1:7" x14ac:dyDescent="0.35">
      <c r="A100" t="s">
        <v>85</v>
      </c>
      <c r="B100" t="s">
        <v>53</v>
      </c>
      <c r="C100" s="1" t="s">
        <v>86</v>
      </c>
      <c r="F100" t="e">
        <f ca="1">_xludf.VALUETOTEXT(Data!B2)</f>
        <v>#NAME?</v>
      </c>
    </row>
    <row r="102" spans="1:7" x14ac:dyDescent="0.35">
      <c r="A102" t="s">
        <v>87</v>
      </c>
      <c r="B102" t="s">
        <v>53</v>
      </c>
      <c r="C102" s="1" t="s">
        <v>88</v>
      </c>
      <c r="F102" t="e">
        <f ca="1">_xludf.REGEXTEST("모델명 EG-2026","\d+")</f>
        <v>#NAME?</v>
      </c>
    </row>
    <row r="104" spans="1:7" x14ac:dyDescent="0.35">
      <c r="A104" t="s">
        <v>89</v>
      </c>
      <c r="B104" t="s">
        <v>53</v>
      </c>
      <c r="C104" s="1" t="s">
        <v>90</v>
      </c>
      <c r="F104" t="e">
        <f ca="1">_xludf.REGEXREPLACE("010-1234-5678","\d{4}$","****")</f>
        <v>#NAME?</v>
      </c>
    </row>
    <row r="106" spans="1:7" x14ac:dyDescent="0.35">
      <c r="A106" t="s">
        <v>91</v>
      </c>
      <c r="B106" t="s">
        <v>53</v>
      </c>
      <c r="C106" s="1" t="s">
        <v>92</v>
      </c>
      <c r="F106" t="e">
        <f t="array" aca="1" ref="F106" ca="1">_xludf.REGEXEXTRACT("주문번호 A-1234","\d+")</f>
        <v>#NAME?</v>
      </c>
    </row>
    <row r="108" spans="1:7" x14ac:dyDescent="0.35">
      <c r="A108" t="s">
        <v>93</v>
      </c>
      <c r="B108" t="s">
        <v>53</v>
      </c>
      <c r="C108" s="1" t="s">
        <v>94</v>
      </c>
      <c r="D108" t="s">
        <v>95</v>
      </c>
      <c r="F108" t="e">
        <f t="array" aca="1" ref="F108:G111" ca="1">_xludf.GROUPBY(Data!C2:C11,Data!D2:D11,"SUM")</f>
        <v>#NAME?</v>
      </c>
      <c r="G108" t="e">
        <f ca="1"/>
        <v>#NAME?</v>
      </c>
    </row>
    <row r="109" spans="1:7" x14ac:dyDescent="0.35">
      <c r="F109" t="e">
        <f ca="1"/>
        <v>#NAME?</v>
      </c>
      <c r="G109" t="e">
        <f ca="1"/>
        <v>#NAME?</v>
      </c>
    </row>
    <row r="110" spans="1:7" x14ac:dyDescent="0.35">
      <c r="F110" t="e">
        <f ca="1"/>
        <v>#NAME?</v>
      </c>
      <c r="G110" t="e">
        <f ca="1"/>
        <v>#NAME?</v>
      </c>
    </row>
    <row r="111" spans="1:7" x14ac:dyDescent="0.35">
      <c r="F111" t="e">
        <f ca="1"/>
        <v>#NAME?</v>
      </c>
      <c r="G111" t="e">
        <f ca="1"/>
        <v>#NAME?</v>
      </c>
    </row>
    <row r="114" spans="1:9" x14ac:dyDescent="0.35">
      <c r="A114" t="s">
        <v>96</v>
      </c>
      <c r="B114" t="s">
        <v>53</v>
      </c>
      <c r="C114" s="1" t="s">
        <v>97</v>
      </c>
      <c r="D114" t="s">
        <v>95</v>
      </c>
      <c r="F114" t="e">
        <f t="array" aca="1" ref="F114:I118" ca="1">_xludf.PIVOTBY(Data!C2:C11,Data!E2:E11,Data!D2:D11,"SUM")</f>
        <v>#NAME?</v>
      </c>
      <c r="G114" t="e">
        <f ca="1"/>
        <v>#NAME?</v>
      </c>
      <c r="H114" t="e">
        <f ca="1"/>
        <v>#NAME?</v>
      </c>
      <c r="I114" t="e">
        <f ca="1"/>
        <v>#NAME?</v>
      </c>
    </row>
    <row r="115" spans="1:9" x14ac:dyDescent="0.35">
      <c r="F115" t="e">
        <f ca="1"/>
        <v>#NAME?</v>
      </c>
      <c r="G115" t="e">
        <f ca="1"/>
        <v>#NAME?</v>
      </c>
      <c r="H115" t="e">
        <f ca="1"/>
        <v>#NAME?</v>
      </c>
      <c r="I115" t="e">
        <f ca="1"/>
        <v>#NAME?</v>
      </c>
    </row>
    <row r="116" spans="1:9" x14ac:dyDescent="0.35">
      <c r="F116" t="e">
        <f ca="1"/>
        <v>#NAME?</v>
      </c>
      <c r="G116" t="e">
        <f ca="1"/>
        <v>#NAME?</v>
      </c>
      <c r="H116" t="e">
        <f ca="1"/>
        <v>#NAME?</v>
      </c>
      <c r="I116" t="e">
        <f ca="1"/>
        <v>#NAME?</v>
      </c>
    </row>
    <row r="117" spans="1:9" x14ac:dyDescent="0.35">
      <c r="F117" t="e">
        <f ca="1"/>
        <v>#NAME?</v>
      </c>
      <c r="G117" t="e">
        <f ca="1"/>
        <v>#NAME?</v>
      </c>
      <c r="H117" t="e">
        <f ca="1"/>
        <v>#NAME?</v>
      </c>
      <c r="I117" t="e">
        <f ca="1"/>
        <v>#NAME?</v>
      </c>
    </row>
    <row r="118" spans="1:9" x14ac:dyDescent="0.35">
      <c r="F118" t="e">
        <f ca="1"/>
        <v>#NAME?</v>
      </c>
      <c r="G118" t="e">
        <f ca="1"/>
        <v>#NAME?</v>
      </c>
      <c r="H118" t="e">
        <f ca="1"/>
        <v>#NAME?</v>
      </c>
      <c r="I118" t="e">
        <f ca="1"/>
        <v>#NAME?</v>
      </c>
    </row>
    <row r="121" spans="1:9" x14ac:dyDescent="0.35">
      <c r="A121" t="s">
        <v>98</v>
      </c>
      <c r="B121" t="s">
        <v>53</v>
      </c>
      <c r="C121" s="1" t="s">
        <v>99</v>
      </c>
      <c r="D121" t="s">
        <v>100</v>
      </c>
      <c r="F121" t="e">
        <f ca="1">_xludf.PERCENTOF(Data!D2:D5,Data!D2:D11)</f>
        <v>#NAME?</v>
      </c>
    </row>
    <row r="123" spans="1:9" x14ac:dyDescent="0.35">
      <c r="A123" t="s">
        <v>101</v>
      </c>
      <c r="B123" t="s">
        <v>53</v>
      </c>
      <c r="C123" s="1" t="s">
        <v>102</v>
      </c>
      <c r="D123" t="s">
        <v>103</v>
      </c>
      <c r="F123" t="e">
        <f t="array" aca="1" ref="F123:F125" ca="1">_xludf.TRIMRANGE(Data!G1:G6)</f>
        <v>#NAME?</v>
      </c>
    </row>
    <row r="124" spans="1:9" x14ac:dyDescent="0.35">
      <c r="F124" t="e">
        <f ca="1"/>
        <v>#NAME?</v>
      </c>
    </row>
    <row r="125" spans="1:9" x14ac:dyDescent="0.35">
      <c r="F125" t="e">
        <f ca="1"/>
        <v>#NAME?</v>
      </c>
    </row>
    <row r="127" spans="1:9" x14ac:dyDescent="0.35">
      <c r="A127" t="s">
        <v>104</v>
      </c>
      <c r="B127" t="s">
        <v>53</v>
      </c>
      <c r="C127" s="1" t="s">
        <v>105</v>
      </c>
      <c r="D127" t="s">
        <v>106</v>
      </c>
      <c r="F127" t="e">
        <f ca="1">_xludf.IMAGE("https://www.google.com/favicon.ico")</f>
        <v>#NAME?</v>
      </c>
    </row>
    <row r="129" spans="1:7" x14ac:dyDescent="0.35">
      <c r="A129" t="s">
        <v>107</v>
      </c>
      <c r="B129" t="s">
        <v>108</v>
      </c>
      <c r="C129" s="1" t="s">
        <v>109</v>
      </c>
      <c r="D129" t="s">
        <v>110</v>
      </c>
      <c r="F129" t="e">
        <f t="array" aca="1" ref="F129:G132" ca="1">_xll.IMPORTTEXT(LEFT(CELL("filename",$A$1),FIND("[",CELL("filename",$A$1))-1)&amp;"sample_import.csv",",")</f>
        <v>#NAME?</v>
      </c>
      <c r="G129" t="e">
        <f ca="1"/>
        <v>#NAME?</v>
      </c>
    </row>
    <row r="130" spans="1:7" x14ac:dyDescent="0.35">
      <c r="F130" t="e">
        <f ca="1"/>
        <v>#NAME?</v>
      </c>
      <c r="G130" t="e">
        <f ca="1"/>
        <v>#NAME?</v>
      </c>
    </row>
    <row r="131" spans="1:7" x14ac:dyDescent="0.35">
      <c r="F131" t="e">
        <f ca="1"/>
        <v>#NAME?</v>
      </c>
      <c r="G131" t="e">
        <f ca="1"/>
        <v>#NAME?</v>
      </c>
    </row>
    <row r="132" spans="1:7" x14ac:dyDescent="0.35">
      <c r="F132" t="e">
        <f ca="1"/>
        <v>#NAME?</v>
      </c>
      <c r="G132" t="e">
        <f ca="1"/>
        <v>#NAME?</v>
      </c>
    </row>
    <row r="134" spans="1:7" x14ac:dyDescent="0.35">
      <c r="A134" t="s">
        <v>111</v>
      </c>
      <c r="B134" t="s">
        <v>108</v>
      </c>
      <c r="C134" s="1" t="s">
        <v>112</v>
      </c>
      <c r="D134" t="s">
        <v>110</v>
      </c>
      <c r="F134" t="e">
        <f t="array" aca="1" ref="F134:G137" ca="1">_xll.IMPORTCSV(LEFT(CELL("filename",$A$1),FIND("[",CELL("filename",$A$1))-1)&amp;"sample_import.csv")</f>
        <v>#NAME?</v>
      </c>
      <c r="G134" t="e">
        <f ca="1"/>
        <v>#NAME?</v>
      </c>
    </row>
    <row r="135" spans="1:7" x14ac:dyDescent="0.35">
      <c r="F135" t="e">
        <f ca="1"/>
        <v>#NAME?</v>
      </c>
      <c r="G135" t="e">
        <f ca="1"/>
        <v>#NAME?</v>
      </c>
    </row>
    <row r="136" spans="1:7" x14ac:dyDescent="0.35">
      <c r="F136" t="e">
        <f ca="1"/>
        <v>#NAME?</v>
      </c>
      <c r="G136" t="e">
        <f ca="1"/>
        <v>#NAME?</v>
      </c>
    </row>
    <row r="137" spans="1:7" x14ac:dyDescent="0.35">
      <c r="F137" t="e">
        <f ca="1"/>
        <v>#NAME?</v>
      </c>
      <c r="G137" t="e">
        <f ca="1"/>
        <v>#NAME?</v>
      </c>
    </row>
    <row r="139" spans="1:7" x14ac:dyDescent="0.35">
      <c r="A139" t="s">
        <v>113</v>
      </c>
      <c r="C139" s="1" t="s">
        <v>114</v>
      </c>
      <c r="D139" t="s">
        <v>115</v>
      </c>
      <c r="F139" s="4" t="e">
        <f ca="1">SUM(매출상위3)</f>
        <v>#NAME?</v>
      </c>
    </row>
    <row r="140" spans="1:7" x14ac:dyDescent="0.35">
      <c r="F140" s="4"/>
    </row>
    <row r="141" spans="1:7" x14ac:dyDescent="0.35">
      <c r="F141" s="4"/>
    </row>
    <row r="142" spans="1:7" x14ac:dyDescent="0.35">
      <c r="F142" s="4"/>
    </row>
    <row r="143" spans="1:7" x14ac:dyDescent="0.35">
      <c r="F143" s="4"/>
    </row>
    <row r="144" spans="1:7" x14ac:dyDescent="0.35">
      <c r="F144" s="4"/>
    </row>
    <row r="145" spans="6:6" x14ac:dyDescent="0.35">
      <c r="F145" s="4"/>
    </row>
    <row r="146" spans="6:6" x14ac:dyDescent="0.35">
      <c r="F146" s="4"/>
    </row>
    <row r="147" spans="6:6" x14ac:dyDescent="0.35">
      <c r="F147" s="4"/>
    </row>
    <row r="148" spans="6:6" x14ac:dyDescent="0.35">
      <c r="F148" s="4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8D90-47F4-4D04-81E5-63A5F0D166FA}">
  <dimension ref="A1:G11"/>
  <sheetViews>
    <sheetView workbookViewId="0">
      <selection activeCell="E10" sqref="E10"/>
    </sheetView>
  </sheetViews>
  <sheetFormatPr defaultRowHeight="15.6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10</v>
      </c>
    </row>
    <row r="2" spans="1:7" x14ac:dyDescent="0.35">
      <c r="A2">
        <v>101</v>
      </c>
      <c r="B2" t="s">
        <v>5</v>
      </c>
      <c r="C2" t="s">
        <v>6</v>
      </c>
      <c r="D2">
        <v>1200</v>
      </c>
      <c r="E2" t="s">
        <v>7</v>
      </c>
      <c r="G2">
        <v>20</v>
      </c>
    </row>
    <row r="3" spans="1:7" x14ac:dyDescent="0.35">
      <c r="A3">
        <v>102</v>
      </c>
      <c r="B3" t="s">
        <v>8</v>
      </c>
      <c r="C3" t="s">
        <v>9</v>
      </c>
      <c r="D3">
        <v>950</v>
      </c>
      <c r="E3" t="s">
        <v>10</v>
      </c>
      <c r="G3">
        <v>30</v>
      </c>
    </row>
    <row r="4" spans="1:7" x14ac:dyDescent="0.35">
      <c r="A4">
        <v>103</v>
      </c>
      <c r="B4" t="s">
        <v>11</v>
      </c>
      <c r="C4" t="s">
        <v>6</v>
      </c>
      <c r="D4">
        <v>800</v>
      </c>
      <c r="E4" t="s">
        <v>7</v>
      </c>
    </row>
    <row r="5" spans="1:7" x14ac:dyDescent="0.35">
      <c r="A5">
        <v>104</v>
      </c>
      <c r="B5" t="s">
        <v>12</v>
      </c>
      <c r="C5" t="s">
        <v>13</v>
      </c>
      <c r="D5">
        <v>1100</v>
      </c>
      <c r="E5" t="s">
        <v>10</v>
      </c>
    </row>
    <row r="6" spans="1:7" x14ac:dyDescent="0.35">
      <c r="A6">
        <v>105</v>
      </c>
      <c r="B6" t="s">
        <v>14</v>
      </c>
      <c r="C6" t="s">
        <v>9</v>
      </c>
      <c r="D6">
        <v>700</v>
      </c>
      <c r="E6" t="s">
        <v>7</v>
      </c>
    </row>
    <row r="7" spans="1:7" x14ac:dyDescent="0.35">
      <c r="A7">
        <v>106</v>
      </c>
      <c r="B7" t="s">
        <v>15</v>
      </c>
      <c r="C7" t="s">
        <v>6</v>
      </c>
      <c r="D7">
        <v>1500</v>
      </c>
      <c r="E7" t="s">
        <v>10</v>
      </c>
    </row>
    <row r="8" spans="1:7" x14ac:dyDescent="0.35">
      <c r="A8">
        <v>107</v>
      </c>
      <c r="B8" t="s">
        <v>16</v>
      </c>
      <c r="C8" t="s">
        <v>13</v>
      </c>
      <c r="D8">
        <v>600</v>
      </c>
      <c r="E8" t="s">
        <v>7</v>
      </c>
    </row>
    <row r="9" spans="1:7" x14ac:dyDescent="0.35">
      <c r="A9">
        <v>108</v>
      </c>
      <c r="B9" t="s">
        <v>17</v>
      </c>
      <c r="C9" t="s">
        <v>9</v>
      </c>
      <c r="D9">
        <v>1300</v>
      </c>
      <c r="E9" t="s">
        <v>10</v>
      </c>
    </row>
    <row r="10" spans="1:7" x14ac:dyDescent="0.35">
      <c r="A10">
        <v>109</v>
      </c>
      <c r="B10" t="s">
        <v>18</v>
      </c>
      <c r="C10" t="s">
        <v>6</v>
      </c>
      <c r="D10">
        <v>900</v>
      </c>
      <c r="E10" t="s">
        <v>7</v>
      </c>
    </row>
    <row r="11" spans="1:7" x14ac:dyDescent="0.35">
      <c r="A11">
        <v>110</v>
      </c>
      <c r="B11" t="s">
        <v>19</v>
      </c>
      <c r="C11" t="s">
        <v>13</v>
      </c>
      <c r="D11">
        <v>1000</v>
      </c>
      <c r="E1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새함수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</dc:creator>
  <cp:lastModifiedBy>EG</cp:lastModifiedBy>
  <dcterms:created xsi:type="dcterms:W3CDTF">2026-08-03T00:39:34Z</dcterms:created>
  <dcterms:modified xsi:type="dcterms:W3CDTF">2026-08-03T03:53:23Z</dcterms:modified>
</cp:coreProperties>
</file>